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5AF1CC-3494-4A16-BE57-341C7F13BD71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교체주기_기준" sheetId="1" r:id="rId1"/>
    <sheet name="등급별_현황" sheetId="2" r:id="rId2"/>
    <sheet name="설비별_요약" sheetId="3" r:id="rId3"/>
    <sheet name="기준_정의" sheetId="4" r:id="rId4"/>
  </sheets>
  <calcPr calcId="191029"/>
</workbook>
</file>

<file path=xl/calcChain.xml><?xml version="1.0" encoding="utf-8"?>
<calcChain xmlns="http://schemas.openxmlformats.org/spreadsheetml/2006/main">
  <c r="G11" i="3" l="1"/>
  <c r="F11" i="3"/>
  <c r="E11" i="3"/>
  <c r="D11" i="3"/>
  <c r="C11" i="3"/>
  <c r="B11" i="3"/>
  <c r="E48" i="2"/>
  <c r="E32" i="2"/>
  <c r="E16" i="2"/>
</calcChain>
</file>

<file path=xl/sharedStrings.xml><?xml version="1.0" encoding="utf-8"?>
<sst xmlns="http://schemas.openxmlformats.org/spreadsheetml/2006/main" count="381" uniqueCount="101">
  <si>
    <t>No</t>
  </si>
  <si>
    <t>등급</t>
  </si>
  <si>
    <t>발생횟수 기준</t>
  </si>
  <si>
    <t>공정(설비)</t>
  </si>
  <si>
    <t>항목번호</t>
  </si>
  <si>
    <t>교체 항목</t>
  </si>
  <si>
    <t>교체 주기(일)</t>
  </si>
  <si>
    <t>발생 횟수(회)</t>
  </si>
  <si>
    <t>공장</t>
  </si>
  <si>
    <t>비고</t>
  </si>
  <si>
    <t>A</t>
  </si>
  <si>
    <t>10회 이상</t>
  </si>
  <si>
    <t>주조기</t>
  </si>
  <si>
    <t>①</t>
  </si>
  <si>
    <t>연펌프 교체</t>
  </si>
  <si>
    <t>창원공장</t>
  </si>
  <si>
    <t>혼합기</t>
  </si>
  <si>
    <t>스크류 체인 교체</t>
  </si>
  <si>
    <t>도장</t>
  </si>
  <si>
    <t>②</t>
  </si>
  <si>
    <t>스틸벨트 교체</t>
  </si>
  <si>
    <t>④</t>
  </si>
  <si>
    <t>플라스틱 벨트 교체</t>
  </si>
  <si>
    <t>호퍼 교체</t>
  </si>
  <si>
    <t>압력봉 교체</t>
  </si>
  <si>
    <t>디바이더</t>
  </si>
  <si>
    <t>칼날 교체</t>
  </si>
  <si>
    <t>베어링 교체</t>
  </si>
  <si>
    <t>극판 적재기</t>
  </si>
  <si>
    <t>에어실린더 호스 교체</t>
  </si>
  <si>
    <t>극판 적재 로봇</t>
  </si>
  <si>
    <t>로봇 센서 교체</t>
  </si>
  <si>
    <t>B</t>
  </si>
  <si>
    <t>5회 ~ 9회</t>
  </si>
  <si>
    <t>언코일러</t>
  </si>
  <si>
    <t>구동롤러 교체</t>
  </si>
  <si>
    <t>PUNCHER</t>
  </si>
  <si>
    <t>밀 리미트 센서 교체</t>
  </si>
  <si>
    <t>루프 거리 센서 교체</t>
  </si>
  <si>
    <t>내부 갈퀴 교체</t>
  </si>
  <si>
    <t>턴블러 롤러 커플링 교체</t>
  </si>
  <si>
    <t>호퍼 베어링 교체</t>
  </si>
  <si>
    <t>미끄럼 방지 테이프 교체</t>
  </si>
  <si>
    <t>구동 체인 교체</t>
  </si>
  <si>
    <t>순간 건조기(F/D)</t>
  </si>
  <si>
    <t>배풍 베어링 교체</t>
  </si>
  <si>
    <t>극판정렬 실린더 교체</t>
  </si>
  <si>
    <t>흡착대 교체</t>
  </si>
  <si>
    <t>포크 교체</t>
  </si>
  <si>
    <t>C</t>
  </si>
  <si>
    <t>4회 이하</t>
  </si>
  <si>
    <t>코일러 센서 교체</t>
  </si>
  <si>
    <t>온도 감지 센서 교체</t>
  </si>
  <si>
    <t>턴블러 모터 교체</t>
  </si>
  <si>
    <t>플라스틱 벨트 모터 교체</t>
  </si>
  <si>
    <t>③</t>
  </si>
  <si>
    <t>스풀 대차 벨트 교체</t>
  </si>
  <si>
    <t>컨베이어 구동 모터 교체</t>
  </si>
  <si>
    <t>OSI 모터 체인 교체</t>
  </si>
  <si>
    <t>적재리프트 센서 교체</t>
  </si>
  <si>
    <t>적재리프트 V벨트 교체</t>
  </si>
  <si>
    <t>적재리프트 서보벨트 교체</t>
  </si>
  <si>
    <t>포크 실린더 / 포크대 교체</t>
  </si>
  <si>
    <t>로봇 실린더 볼트 교체</t>
  </si>
  <si>
    <t>창원공장 설비 부품 예방 점검(교체) 주기 기준 — 등급별 현황</t>
  </si>
  <si>
    <t>* 교체(예방 보전) 주기 설정 기준: 부품 최저 교체 주기(30일 이내 제외) × 70% (가혹조건: 온도, 분진, 가동율)</t>
  </si>
  <si>
    <t>A-Grade (발생 횟수: 10회 이상)</t>
  </si>
  <si>
    <t>소계</t>
  </si>
  <si>
    <t>10개 항목</t>
  </si>
  <si>
    <t>B-Grade (발생 횟수: 5회 ~ 9회)</t>
  </si>
  <si>
    <t>12개 항목</t>
  </si>
  <si>
    <t>C-Grade (발생 횟수: 4회 이하)</t>
  </si>
  <si>
    <t>A등급 항목</t>
  </si>
  <si>
    <t>B등급 항목</t>
  </si>
  <si>
    <t>C등급 항목</t>
  </si>
  <si>
    <t>총 항목 수</t>
  </si>
  <si>
    <t>총 발생 횟수</t>
  </si>
  <si>
    <t>최소 교체주기(일)</t>
  </si>
  <si>
    <t>합계</t>
  </si>
  <si>
    <t>구분</t>
  </si>
  <si>
    <t>값</t>
  </si>
  <si>
    <t>설명</t>
  </si>
  <si>
    <t>A-Grade 기준</t>
  </si>
  <si>
    <t>발생 횟수 10회 이상</t>
  </si>
  <si>
    <t>관리 최우선 등급</t>
  </si>
  <si>
    <t>B-Grade 기준</t>
  </si>
  <si>
    <t>발생 횟수 5회 ~ 9회</t>
  </si>
  <si>
    <t>C-Grade 기준</t>
  </si>
  <si>
    <t>발생 횟수 4회 이하</t>
  </si>
  <si>
    <t>가혹조건 계수</t>
  </si>
  <si>
    <t>부품 최저 교체 주기 × 70% (온도, 분진, 가동율)</t>
  </si>
  <si>
    <t>제외 조건</t>
  </si>
  <si>
    <t>교체 주기 30일 이내</t>
  </si>
  <si>
    <t>최저 교체 주기 산정 시 제외</t>
  </si>
  <si>
    <t>대상 설비 수</t>
  </si>
  <si>
    <t>주조기, 언코일러, PUNCHER, 혼합기, 도장, 디바이더, 순간 건조기(F/D), 극판 적재기, 극판 적재 로봇</t>
  </si>
  <si>
    <t>대상 부품 수</t>
  </si>
  <si>
    <t>A:10 / B:12 / C:12</t>
  </si>
  <si>
    <t>출처</t>
  </si>
  <si>
    <t>제조품질 현황_창원공장 (품질본부) p.7</t>
  </si>
  <si>
    <t>자료 전사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</si>
</sst>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4D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/>
    <xf numFmtId="0" fontId="0" fillId="0" borderId="0" xfId="0"/>
    <xf numFmtId="0" fontId="4" fillId="3" borderId="0" xfId="0" applyFont="1" applyFill="1"/>
    <xf numFmtId="0" fontId="4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laceCycleTbl" displayName="ReplaceCycleTbl" ref="A1:J35">
  <tableColumns count="10">
    <tableColumn id="1" xr3:uid="{00000000-0010-0000-0000-000001000000}" name="No"/>
    <tableColumn id="2" xr3:uid="{00000000-0010-0000-0000-000002000000}" name="등급"/>
    <tableColumn id="3" xr3:uid="{00000000-0010-0000-0000-000003000000}" name="발생횟수 기준"/>
    <tableColumn id="4" xr3:uid="{00000000-0010-0000-0000-000004000000}" name="공정(설비)"/>
    <tableColumn id="5" xr3:uid="{00000000-0010-0000-0000-000005000000}" name="항목번호"/>
    <tableColumn id="6" xr3:uid="{00000000-0010-0000-0000-000006000000}" name="교체 항목"/>
    <tableColumn id="7" xr3:uid="{00000000-0010-0000-0000-000007000000}" name="교체 주기(일)"/>
    <tableColumn id="8" xr3:uid="{00000000-0010-0000-0000-000008000000}" name="발생 횟수(회)"/>
    <tableColumn id="9" xr3:uid="{00000000-0010-0000-0000-000009000000}" name="공장"/>
    <tableColumn id="10" xr3:uid="{00000000-0010-0000-0000-00000A000000}" name="비고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pane ySplit="1" topLeftCell="A2" activePane="bottomLeft" state="frozen"/>
      <selection pane="bottomLeft" activeCell="P5" sqref="P5"/>
    </sheetView>
  </sheetViews>
  <sheetFormatPr defaultRowHeight="16.5" x14ac:dyDescent="0.3"/>
  <cols>
    <col min="1" max="1" width="6" customWidth="1"/>
    <col min="2" max="2" width="8" customWidth="1"/>
    <col min="3" max="3" width="14" customWidth="1"/>
    <col min="4" max="4" width="18" customWidth="1"/>
    <col min="5" max="5" width="10" customWidth="1"/>
    <col min="6" max="6" width="30" customWidth="1"/>
    <col min="7" max="8" width="14" customWidth="1"/>
    <col min="9" max="9" width="10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3" t="s">
        <v>10</v>
      </c>
      <c r="C2" s="2" t="s">
        <v>11</v>
      </c>
      <c r="D2" s="4" t="s">
        <v>12</v>
      </c>
      <c r="E2" s="2" t="s">
        <v>13</v>
      </c>
      <c r="F2" s="4" t="s">
        <v>14</v>
      </c>
      <c r="G2" s="2">
        <v>25</v>
      </c>
      <c r="H2" s="2">
        <v>11</v>
      </c>
      <c r="I2" s="2" t="s">
        <v>15</v>
      </c>
      <c r="J2" s="4"/>
    </row>
    <row r="3" spans="1:10" x14ac:dyDescent="0.3">
      <c r="A3" s="2">
        <v>2</v>
      </c>
      <c r="B3" s="3" t="s">
        <v>10</v>
      </c>
      <c r="C3" s="2" t="s">
        <v>11</v>
      </c>
      <c r="D3" s="4" t="s">
        <v>16</v>
      </c>
      <c r="E3" s="2" t="s">
        <v>13</v>
      </c>
      <c r="F3" s="4" t="s">
        <v>17</v>
      </c>
      <c r="G3" s="2">
        <v>60</v>
      </c>
      <c r="H3" s="2">
        <v>16</v>
      </c>
      <c r="I3" s="2" t="s">
        <v>15</v>
      </c>
      <c r="J3" s="4"/>
    </row>
    <row r="4" spans="1:10" x14ac:dyDescent="0.3">
      <c r="A4" s="2">
        <v>3</v>
      </c>
      <c r="B4" s="3" t="s">
        <v>10</v>
      </c>
      <c r="C4" s="2" t="s">
        <v>11</v>
      </c>
      <c r="D4" s="4" t="s">
        <v>18</v>
      </c>
      <c r="E4" s="2" t="s">
        <v>19</v>
      </c>
      <c r="F4" s="4" t="s">
        <v>20</v>
      </c>
      <c r="G4" s="2">
        <v>25</v>
      </c>
      <c r="H4" s="2">
        <v>97</v>
      </c>
      <c r="I4" s="2" t="s">
        <v>15</v>
      </c>
      <c r="J4" s="4"/>
    </row>
    <row r="5" spans="1:10" x14ac:dyDescent="0.3">
      <c r="A5" s="2">
        <v>4</v>
      </c>
      <c r="B5" s="3" t="s">
        <v>10</v>
      </c>
      <c r="C5" s="2" t="s">
        <v>11</v>
      </c>
      <c r="D5" s="4" t="s">
        <v>18</v>
      </c>
      <c r="E5" s="2" t="s">
        <v>21</v>
      </c>
      <c r="F5" s="4" t="s">
        <v>22</v>
      </c>
      <c r="G5" s="2">
        <v>55</v>
      </c>
      <c r="H5" s="2">
        <v>38</v>
      </c>
      <c r="I5" s="2" t="s">
        <v>15</v>
      </c>
      <c r="J5" s="4"/>
    </row>
    <row r="6" spans="1:10" x14ac:dyDescent="0.3">
      <c r="A6" s="2">
        <v>5</v>
      </c>
      <c r="B6" s="3" t="s">
        <v>10</v>
      </c>
      <c r="C6" s="2" t="s">
        <v>11</v>
      </c>
      <c r="D6" s="4" t="s">
        <v>18</v>
      </c>
      <c r="E6" s="2" t="s">
        <v>21</v>
      </c>
      <c r="F6" s="4" t="s">
        <v>23</v>
      </c>
      <c r="G6" s="2">
        <v>67</v>
      </c>
      <c r="H6" s="2">
        <v>13</v>
      </c>
      <c r="I6" s="2" t="s">
        <v>15</v>
      </c>
      <c r="J6" s="4"/>
    </row>
    <row r="7" spans="1:10" x14ac:dyDescent="0.3">
      <c r="A7" s="2">
        <v>6</v>
      </c>
      <c r="B7" s="3" t="s">
        <v>10</v>
      </c>
      <c r="C7" s="2" t="s">
        <v>11</v>
      </c>
      <c r="D7" s="4" t="s">
        <v>18</v>
      </c>
      <c r="E7" s="2" t="s">
        <v>21</v>
      </c>
      <c r="F7" s="4" t="s">
        <v>24</v>
      </c>
      <c r="G7" s="2">
        <v>28</v>
      </c>
      <c r="H7" s="2">
        <v>13</v>
      </c>
      <c r="I7" s="2" t="s">
        <v>15</v>
      </c>
      <c r="J7" s="4"/>
    </row>
    <row r="8" spans="1:10" x14ac:dyDescent="0.3">
      <c r="A8" s="2">
        <v>7</v>
      </c>
      <c r="B8" s="3" t="s">
        <v>10</v>
      </c>
      <c r="C8" s="2" t="s">
        <v>11</v>
      </c>
      <c r="D8" s="4" t="s">
        <v>25</v>
      </c>
      <c r="E8" s="2" t="s">
        <v>13</v>
      </c>
      <c r="F8" s="4" t="s">
        <v>26</v>
      </c>
      <c r="G8" s="2">
        <v>24</v>
      </c>
      <c r="H8" s="2">
        <v>47</v>
      </c>
      <c r="I8" s="2" t="s">
        <v>15</v>
      </c>
      <c r="J8" s="4"/>
    </row>
    <row r="9" spans="1:10" x14ac:dyDescent="0.3">
      <c r="A9" s="2">
        <v>8</v>
      </c>
      <c r="B9" s="3" t="s">
        <v>10</v>
      </c>
      <c r="C9" s="2" t="s">
        <v>11</v>
      </c>
      <c r="D9" s="4" t="s">
        <v>25</v>
      </c>
      <c r="E9" s="2" t="s">
        <v>19</v>
      </c>
      <c r="F9" s="4" t="s">
        <v>27</v>
      </c>
      <c r="G9" s="2">
        <v>27</v>
      </c>
      <c r="H9" s="2">
        <v>27</v>
      </c>
      <c r="I9" s="2" t="s">
        <v>15</v>
      </c>
      <c r="J9" s="4"/>
    </row>
    <row r="10" spans="1:10" x14ac:dyDescent="0.3">
      <c r="A10" s="2">
        <v>9</v>
      </c>
      <c r="B10" s="3" t="s">
        <v>10</v>
      </c>
      <c r="C10" s="2" t="s">
        <v>11</v>
      </c>
      <c r="D10" s="4" t="s">
        <v>28</v>
      </c>
      <c r="E10" s="2" t="s">
        <v>13</v>
      </c>
      <c r="F10" s="4" t="s">
        <v>29</v>
      </c>
      <c r="G10" s="2">
        <v>92</v>
      </c>
      <c r="H10" s="2">
        <v>10</v>
      </c>
      <c r="I10" s="2" t="s">
        <v>15</v>
      </c>
      <c r="J10" s="4"/>
    </row>
    <row r="11" spans="1:10" x14ac:dyDescent="0.3">
      <c r="A11" s="2">
        <v>10</v>
      </c>
      <c r="B11" s="3" t="s">
        <v>10</v>
      </c>
      <c r="C11" s="2" t="s">
        <v>11</v>
      </c>
      <c r="D11" s="4" t="s">
        <v>30</v>
      </c>
      <c r="E11" s="2" t="s">
        <v>13</v>
      </c>
      <c r="F11" s="4" t="s">
        <v>31</v>
      </c>
      <c r="G11" s="2">
        <v>22</v>
      </c>
      <c r="H11" s="2">
        <v>17</v>
      </c>
      <c r="I11" s="2" t="s">
        <v>15</v>
      </c>
      <c r="J11" s="4"/>
    </row>
    <row r="12" spans="1:10" x14ac:dyDescent="0.3">
      <c r="A12" s="2">
        <v>11</v>
      </c>
      <c r="B12" s="5" t="s">
        <v>32</v>
      </c>
      <c r="C12" s="2" t="s">
        <v>33</v>
      </c>
      <c r="D12" s="4" t="s">
        <v>34</v>
      </c>
      <c r="E12" s="2" t="s">
        <v>13</v>
      </c>
      <c r="F12" s="4" t="s">
        <v>35</v>
      </c>
      <c r="G12" s="2">
        <v>114</v>
      </c>
      <c r="H12" s="2">
        <v>5</v>
      </c>
      <c r="I12" s="2" t="s">
        <v>15</v>
      </c>
      <c r="J12" s="4"/>
    </row>
    <row r="13" spans="1:10" x14ac:dyDescent="0.3">
      <c r="A13" s="2">
        <v>12</v>
      </c>
      <c r="B13" s="5" t="s">
        <v>32</v>
      </c>
      <c r="C13" s="2" t="s">
        <v>33</v>
      </c>
      <c r="D13" s="4" t="s">
        <v>36</v>
      </c>
      <c r="E13" s="2" t="s">
        <v>13</v>
      </c>
      <c r="F13" s="4" t="s">
        <v>37</v>
      </c>
      <c r="G13" s="2">
        <v>50</v>
      </c>
      <c r="H13" s="2">
        <v>5</v>
      </c>
      <c r="I13" s="2" t="s">
        <v>15</v>
      </c>
      <c r="J13" s="4"/>
    </row>
    <row r="14" spans="1:10" x14ac:dyDescent="0.3">
      <c r="A14" s="2">
        <v>13</v>
      </c>
      <c r="B14" s="5" t="s">
        <v>32</v>
      </c>
      <c r="C14" s="2" t="s">
        <v>33</v>
      </c>
      <c r="D14" s="4" t="s">
        <v>36</v>
      </c>
      <c r="E14" s="2" t="s">
        <v>19</v>
      </c>
      <c r="F14" s="4" t="s">
        <v>38</v>
      </c>
      <c r="G14" s="2">
        <v>112</v>
      </c>
      <c r="H14" s="2">
        <v>5</v>
      </c>
      <c r="I14" s="2" t="s">
        <v>15</v>
      </c>
      <c r="J14" s="4"/>
    </row>
    <row r="15" spans="1:10" x14ac:dyDescent="0.3">
      <c r="A15" s="2">
        <v>14</v>
      </c>
      <c r="B15" s="5" t="s">
        <v>32</v>
      </c>
      <c r="C15" s="2" t="s">
        <v>33</v>
      </c>
      <c r="D15" s="4" t="s">
        <v>16</v>
      </c>
      <c r="E15" s="2" t="s">
        <v>13</v>
      </c>
      <c r="F15" s="4" t="s">
        <v>39</v>
      </c>
      <c r="G15" s="2">
        <v>53</v>
      </c>
      <c r="H15" s="2">
        <v>6</v>
      </c>
      <c r="I15" s="2" t="s">
        <v>15</v>
      </c>
      <c r="J15" s="4"/>
    </row>
    <row r="16" spans="1:10" x14ac:dyDescent="0.3">
      <c r="A16" s="2">
        <v>15</v>
      </c>
      <c r="B16" s="5" t="s">
        <v>32</v>
      </c>
      <c r="C16" s="2" t="s">
        <v>33</v>
      </c>
      <c r="D16" s="4" t="s">
        <v>18</v>
      </c>
      <c r="E16" s="2" t="s">
        <v>19</v>
      </c>
      <c r="F16" s="4" t="s">
        <v>40</v>
      </c>
      <c r="G16" s="2">
        <v>22</v>
      </c>
      <c r="H16" s="2">
        <v>9</v>
      </c>
      <c r="I16" s="2" t="s">
        <v>15</v>
      </c>
      <c r="J16" s="4"/>
    </row>
    <row r="17" spans="1:10" x14ac:dyDescent="0.3">
      <c r="A17" s="2">
        <v>16</v>
      </c>
      <c r="B17" s="5" t="s">
        <v>32</v>
      </c>
      <c r="C17" s="2" t="s">
        <v>33</v>
      </c>
      <c r="D17" s="4" t="s">
        <v>18</v>
      </c>
      <c r="E17" s="2" t="s">
        <v>21</v>
      </c>
      <c r="F17" s="4" t="s">
        <v>41</v>
      </c>
      <c r="G17" s="2">
        <v>113</v>
      </c>
      <c r="H17" s="2">
        <v>9</v>
      </c>
      <c r="I17" s="2" t="s">
        <v>15</v>
      </c>
      <c r="J17" s="4"/>
    </row>
    <row r="18" spans="1:10" x14ac:dyDescent="0.3">
      <c r="A18" s="2">
        <v>17</v>
      </c>
      <c r="B18" s="5" t="s">
        <v>32</v>
      </c>
      <c r="C18" s="2" t="s">
        <v>33</v>
      </c>
      <c r="D18" s="4" t="s">
        <v>25</v>
      </c>
      <c r="E18" s="2" t="s">
        <v>13</v>
      </c>
      <c r="F18" s="4" t="s">
        <v>42</v>
      </c>
      <c r="G18" s="2">
        <v>27</v>
      </c>
      <c r="H18" s="2">
        <v>9</v>
      </c>
      <c r="I18" s="2" t="s">
        <v>15</v>
      </c>
      <c r="J18" s="4"/>
    </row>
    <row r="19" spans="1:10" x14ac:dyDescent="0.3">
      <c r="A19" s="2">
        <v>18</v>
      </c>
      <c r="B19" s="5" t="s">
        <v>32</v>
      </c>
      <c r="C19" s="2" t="s">
        <v>33</v>
      </c>
      <c r="D19" s="4" t="s">
        <v>25</v>
      </c>
      <c r="E19" s="2" t="s">
        <v>19</v>
      </c>
      <c r="F19" s="4" t="s">
        <v>43</v>
      </c>
      <c r="G19" s="2">
        <v>78</v>
      </c>
      <c r="H19" s="2">
        <v>6</v>
      </c>
      <c r="I19" s="2" t="s">
        <v>15</v>
      </c>
      <c r="J19" s="4"/>
    </row>
    <row r="20" spans="1:10" x14ac:dyDescent="0.3">
      <c r="A20" s="2">
        <v>19</v>
      </c>
      <c r="B20" s="5" t="s">
        <v>32</v>
      </c>
      <c r="C20" s="2" t="s">
        <v>33</v>
      </c>
      <c r="D20" s="4" t="s">
        <v>44</v>
      </c>
      <c r="E20" s="2" t="s">
        <v>19</v>
      </c>
      <c r="F20" s="4" t="s">
        <v>45</v>
      </c>
      <c r="G20" s="2">
        <v>67</v>
      </c>
      <c r="H20" s="2">
        <v>9</v>
      </c>
      <c r="I20" s="2" t="s">
        <v>15</v>
      </c>
      <c r="J20" s="4"/>
    </row>
    <row r="21" spans="1:10" x14ac:dyDescent="0.3">
      <c r="A21" s="2">
        <v>20</v>
      </c>
      <c r="B21" s="5" t="s">
        <v>32</v>
      </c>
      <c r="C21" s="2" t="s">
        <v>33</v>
      </c>
      <c r="D21" s="4" t="s">
        <v>28</v>
      </c>
      <c r="E21" s="2" t="s">
        <v>13</v>
      </c>
      <c r="F21" s="4" t="s">
        <v>46</v>
      </c>
      <c r="G21" s="2">
        <v>60</v>
      </c>
      <c r="H21" s="2">
        <v>9</v>
      </c>
      <c r="I21" s="2" t="s">
        <v>15</v>
      </c>
      <c r="J21" s="4"/>
    </row>
    <row r="22" spans="1:10" x14ac:dyDescent="0.3">
      <c r="A22" s="2">
        <v>21</v>
      </c>
      <c r="B22" s="5" t="s">
        <v>32</v>
      </c>
      <c r="C22" s="2" t="s">
        <v>33</v>
      </c>
      <c r="D22" s="4" t="s">
        <v>30</v>
      </c>
      <c r="E22" s="2" t="s">
        <v>13</v>
      </c>
      <c r="F22" s="4" t="s">
        <v>47</v>
      </c>
      <c r="G22" s="2">
        <v>39</v>
      </c>
      <c r="H22" s="2">
        <v>5</v>
      </c>
      <c r="I22" s="2" t="s">
        <v>15</v>
      </c>
      <c r="J22" s="4"/>
    </row>
    <row r="23" spans="1:10" x14ac:dyDescent="0.3">
      <c r="A23" s="2">
        <v>22</v>
      </c>
      <c r="B23" s="5" t="s">
        <v>32</v>
      </c>
      <c r="C23" s="2" t="s">
        <v>33</v>
      </c>
      <c r="D23" s="4" t="s">
        <v>30</v>
      </c>
      <c r="E23" s="2" t="s">
        <v>19</v>
      </c>
      <c r="F23" s="4" t="s">
        <v>48</v>
      </c>
      <c r="G23" s="2">
        <v>147</v>
      </c>
      <c r="H23" s="2">
        <v>7</v>
      </c>
      <c r="I23" s="2" t="s">
        <v>15</v>
      </c>
      <c r="J23" s="4"/>
    </row>
    <row r="24" spans="1:10" x14ac:dyDescent="0.3">
      <c r="A24" s="2">
        <v>23</v>
      </c>
      <c r="B24" s="6" t="s">
        <v>49</v>
      </c>
      <c r="C24" s="2" t="s">
        <v>50</v>
      </c>
      <c r="D24" s="4" t="s">
        <v>36</v>
      </c>
      <c r="E24" s="2" t="s">
        <v>13</v>
      </c>
      <c r="F24" s="4" t="s">
        <v>51</v>
      </c>
      <c r="G24" s="2">
        <v>118</v>
      </c>
      <c r="H24" s="2">
        <v>2</v>
      </c>
      <c r="I24" s="2" t="s">
        <v>15</v>
      </c>
      <c r="J24" s="4"/>
    </row>
    <row r="25" spans="1:10" x14ac:dyDescent="0.3">
      <c r="A25" s="2">
        <v>24</v>
      </c>
      <c r="B25" s="6" t="s">
        <v>49</v>
      </c>
      <c r="C25" s="2" t="s">
        <v>50</v>
      </c>
      <c r="D25" s="4" t="s">
        <v>16</v>
      </c>
      <c r="E25" s="2" t="s">
        <v>13</v>
      </c>
      <c r="F25" s="4" t="s">
        <v>52</v>
      </c>
      <c r="G25" s="2">
        <v>164</v>
      </c>
      <c r="H25" s="2">
        <v>3</v>
      </c>
      <c r="I25" s="2" t="s">
        <v>15</v>
      </c>
      <c r="J25" s="4"/>
    </row>
    <row r="26" spans="1:10" x14ac:dyDescent="0.3">
      <c r="A26" s="2">
        <v>25</v>
      </c>
      <c r="B26" s="6" t="s">
        <v>49</v>
      </c>
      <c r="C26" s="2" t="s">
        <v>50</v>
      </c>
      <c r="D26" s="4" t="s">
        <v>18</v>
      </c>
      <c r="E26" s="2" t="s">
        <v>13</v>
      </c>
      <c r="F26" s="4" t="s">
        <v>53</v>
      </c>
      <c r="G26" s="2">
        <v>48</v>
      </c>
      <c r="H26" s="2">
        <v>3</v>
      </c>
      <c r="I26" s="2" t="s">
        <v>15</v>
      </c>
      <c r="J26" s="4"/>
    </row>
    <row r="27" spans="1:10" x14ac:dyDescent="0.3">
      <c r="A27" s="2">
        <v>26</v>
      </c>
      <c r="B27" s="6" t="s">
        <v>49</v>
      </c>
      <c r="C27" s="2" t="s">
        <v>50</v>
      </c>
      <c r="D27" s="4" t="s">
        <v>18</v>
      </c>
      <c r="E27" s="2" t="s">
        <v>19</v>
      </c>
      <c r="F27" s="4" t="s">
        <v>54</v>
      </c>
      <c r="G27" s="2">
        <v>169</v>
      </c>
      <c r="H27" s="2">
        <v>3</v>
      </c>
      <c r="I27" s="2" t="s">
        <v>15</v>
      </c>
      <c r="J27" s="4"/>
    </row>
    <row r="28" spans="1:10" x14ac:dyDescent="0.3">
      <c r="A28" s="2">
        <v>27</v>
      </c>
      <c r="B28" s="6" t="s">
        <v>49</v>
      </c>
      <c r="C28" s="2" t="s">
        <v>50</v>
      </c>
      <c r="D28" s="4" t="s">
        <v>18</v>
      </c>
      <c r="E28" s="2" t="s">
        <v>55</v>
      </c>
      <c r="F28" s="4" t="s">
        <v>56</v>
      </c>
      <c r="G28" s="2">
        <v>32</v>
      </c>
      <c r="H28" s="2">
        <v>3</v>
      </c>
      <c r="I28" s="2" t="s">
        <v>15</v>
      </c>
      <c r="J28" s="4"/>
    </row>
    <row r="29" spans="1:10" x14ac:dyDescent="0.3">
      <c r="A29" s="2">
        <v>28</v>
      </c>
      <c r="B29" s="6" t="s">
        <v>49</v>
      </c>
      <c r="C29" s="2" t="s">
        <v>50</v>
      </c>
      <c r="D29" s="4" t="s">
        <v>44</v>
      </c>
      <c r="E29" s="2" t="s">
        <v>19</v>
      </c>
      <c r="F29" s="4" t="s">
        <v>57</v>
      </c>
      <c r="G29" s="2">
        <v>59</v>
      </c>
      <c r="H29" s="2">
        <v>2</v>
      </c>
      <c r="I29" s="2" t="s">
        <v>15</v>
      </c>
      <c r="J29" s="4"/>
    </row>
    <row r="30" spans="1:10" x14ac:dyDescent="0.3">
      <c r="A30" s="2">
        <v>29</v>
      </c>
      <c r="B30" s="6" t="s">
        <v>49</v>
      </c>
      <c r="C30" s="2" t="s">
        <v>50</v>
      </c>
      <c r="D30" s="4" t="s">
        <v>44</v>
      </c>
      <c r="E30" s="2" t="s">
        <v>55</v>
      </c>
      <c r="F30" s="4" t="s">
        <v>58</v>
      </c>
      <c r="G30" s="2">
        <v>67</v>
      </c>
      <c r="H30" s="2">
        <v>2</v>
      </c>
      <c r="I30" s="2" t="s">
        <v>15</v>
      </c>
      <c r="J30" s="4"/>
    </row>
    <row r="31" spans="1:10" x14ac:dyDescent="0.3">
      <c r="A31" s="2">
        <v>30</v>
      </c>
      <c r="B31" s="6" t="s">
        <v>49</v>
      </c>
      <c r="C31" s="2" t="s">
        <v>50</v>
      </c>
      <c r="D31" s="4" t="s">
        <v>28</v>
      </c>
      <c r="E31" s="2" t="s">
        <v>13</v>
      </c>
      <c r="F31" s="4" t="s">
        <v>59</v>
      </c>
      <c r="G31" s="2">
        <v>96</v>
      </c>
      <c r="H31" s="2">
        <v>3</v>
      </c>
      <c r="I31" s="2" t="s">
        <v>15</v>
      </c>
      <c r="J31" s="4"/>
    </row>
    <row r="32" spans="1:10" x14ac:dyDescent="0.3">
      <c r="A32" s="2">
        <v>31</v>
      </c>
      <c r="B32" s="6" t="s">
        <v>49</v>
      </c>
      <c r="C32" s="2" t="s">
        <v>50</v>
      </c>
      <c r="D32" s="4" t="s">
        <v>28</v>
      </c>
      <c r="E32" s="2" t="s">
        <v>19</v>
      </c>
      <c r="F32" s="4" t="s">
        <v>60</v>
      </c>
      <c r="G32" s="2">
        <v>81</v>
      </c>
      <c r="H32" s="2">
        <v>4</v>
      </c>
      <c r="I32" s="2" t="s">
        <v>15</v>
      </c>
      <c r="J32" s="4"/>
    </row>
    <row r="33" spans="1:10" x14ac:dyDescent="0.3">
      <c r="A33" s="2">
        <v>32</v>
      </c>
      <c r="B33" s="6" t="s">
        <v>49</v>
      </c>
      <c r="C33" s="2" t="s">
        <v>50</v>
      </c>
      <c r="D33" s="4" t="s">
        <v>28</v>
      </c>
      <c r="E33" s="2" t="s">
        <v>55</v>
      </c>
      <c r="F33" s="4" t="s">
        <v>61</v>
      </c>
      <c r="G33" s="2">
        <v>348</v>
      </c>
      <c r="H33" s="2">
        <v>3</v>
      </c>
      <c r="I33" s="2" t="s">
        <v>15</v>
      </c>
      <c r="J33" s="4"/>
    </row>
    <row r="34" spans="1:10" x14ac:dyDescent="0.3">
      <c r="A34" s="2">
        <v>33</v>
      </c>
      <c r="B34" s="6" t="s">
        <v>49</v>
      </c>
      <c r="C34" s="2" t="s">
        <v>50</v>
      </c>
      <c r="D34" s="4" t="s">
        <v>28</v>
      </c>
      <c r="E34" s="2" t="s">
        <v>21</v>
      </c>
      <c r="F34" s="4" t="s">
        <v>62</v>
      </c>
      <c r="G34" s="2">
        <v>58</v>
      </c>
      <c r="H34" s="2">
        <v>2</v>
      </c>
      <c r="I34" s="2" t="s">
        <v>15</v>
      </c>
      <c r="J34" s="4"/>
    </row>
    <row r="35" spans="1:10" x14ac:dyDescent="0.3">
      <c r="A35" s="2">
        <v>34</v>
      </c>
      <c r="B35" s="6" t="s">
        <v>49</v>
      </c>
      <c r="C35" s="2" t="s">
        <v>50</v>
      </c>
      <c r="D35" s="4" t="s">
        <v>30</v>
      </c>
      <c r="E35" s="2" t="s">
        <v>13</v>
      </c>
      <c r="F35" s="4" t="s">
        <v>63</v>
      </c>
      <c r="G35" s="2">
        <v>21</v>
      </c>
      <c r="H35" s="2">
        <v>2</v>
      </c>
      <c r="I35" s="2" t="s">
        <v>15</v>
      </c>
      <c r="J35" s="4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/>
  </sheetViews>
  <sheetFormatPr defaultRowHeight="16.5" x14ac:dyDescent="0.3"/>
  <cols>
    <col min="1" max="1" width="18" customWidth="1"/>
    <col min="2" max="2" width="10" customWidth="1"/>
    <col min="3" max="3" width="30" customWidth="1"/>
    <col min="4" max="5" width="14" customWidth="1"/>
  </cols>
  <sheetData>
    <row r="1" spans="1:5" ht="19.5" x14ac:dyDescent="0.35">
      <c r="A1" s="7" t="s">
        <v>64</v>
      </c>
    </row>
    <row r="2" spans="1:5" x14ac:dyDescent="0.3">
      <c r="A2" s="8" t="s">
        <v>65</v>
      </c>
    </row>
    <row r="4" spans="1:5" ht="17.25" x14ac:dyDescent="0.3">
      <c r="A4" s="14" t="s">
        <v>66</v>
      </c>
      <c r="B4" s="13"/>
      <c r="C4" s="13"/>
      <c r="D4" s="13"/>
      <c r="E4" s="13"/>
    </row>
    <row r="5" spans="1:5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3">
      <c r="A6" s="2" t="s">
        <v>12</v>
      </c>
      <c r="B6" s="2" t="s">
        <v>13</v>
      </c>
      <c r="C6" s="4" t="s">
        <v>14</v>
      </c>
      <c r="D6" s="2">
        <v>25</v>
      </c>
      <c r="E6" s="2">
        <v>11</v>
      </c>
    </row>
    <row r="7" spans="1:5" x14ac:dyDescent="0.3">
      <c r="A7" s="2" t="s">
        <v>16</v>
      </c>
      <c r="B7" s="2" t="s">
        <v>13</v>
      </c>
      <c r="C7" s="4" t="s">
        <v>17</v>
      </c>
      <c r="D7" s="2">
        <v>60</v>
      </c>
      <c r="E7" s="2">
        <v>16</v>
      </c>
    </row>
    <row r="8" spans="1:5" x14ac:dyDescent="0.3">
      <c r="A8" s="2" t="s">
        <v>18</v>
      </c>
      <c r="B8" s="2" t="s">
        <v>19</v>
      </c>
      <c r="C8" s="4" t="s">
        <v>20</v>
      </c>
      <c r="D8" s="2">
        <v>25</v>
      </c>
      <c r="E8" s="2">
        <v>97</v>
      </c>
    </row>
    <row r="9" spans="1:5" x14ac:dyDescent="0.3">
      <c r="A9" s="2" t="s">
        <v>18</v>
      </c>
      <c r="B9" s="2" t="s">
        <v>21</v>
      </c>
      <c r="C9" s="4" t="s">
        <v>22</v>
      </c>
      <c r="D9" s="2">
        <v>55</v>
      </c>
      <c r="E9" s="2">
        <v>38</v>
      </c>
    </row>
    <row r="10" spans="1:5" x14ac:dyDescent="0.3">
      <c r="A10" s="2" t="s">
        <v>18</v>
      </c>
      <c r="B10" s="2" t="s">
        <v>21</v>
      </c>
      <c r="C10" s="4" t="s">
        <v>23</v>
      </c>
      <c r="D10" s="2">
        <v>67</v>
      </c>
      <c r="E10" s="2">
        <v>13</v>
      </c>
    </row>
    <row r="11" spans="1:5" x14ac:dyDescent="0.3">
      <c r="A11" s="2" t="s">
        <v>18</v>
      </c>
      <c r="B11" s="2" t="s">
        <v>21</v>
      </c>
      <c r="C11" s="4" t="s">
        <v>24</v>
      </c>
      <c r="D11" s="2">
        <v>28</v>
      </c>
      <c r="E11" s="2">
        <v>13</v>
      </c>
    </row>
    <row r="12" spans="1:5" x14ac:dyDescent="0.3">
      <c r="A12" s="2" t="s">
        <v>25</v>
      </c>
      <c r="B12" s="2" t="s">
        <v>13</v>
      </c>
      <c r="C12" s="4" t="s">
        <v>26</v>
      </c>
      <c r="D12" s="2">
        <v>24</v>
      </c>
      <c r="E12" s="2">
        <v>47</v>
      </c>
    </row>
    <row r="13" spans="1:5" x14ac:dyDescent="0.3">
      <c r="A13" s="2" t="s">
        <v>25</v>
      </c>
      <c r="B13" s="2" t="s">
        <v>19</v>
      </c>
      <c r="C13" s="4" t="s">
        <v>27</v>
      </c>
      <c r="D13" s="2">
        <v>27</v>
      </c>
      <c r="E13" s="2">
        <v>27</v>
      </c>
    </row>
    <row r="14" spans="1:5" x14ac:dyDescent="0.3">
      <c r="A14" s="2" t="s">
        <v>28</v>
      </c>
      <c r="B14" s="2" t="s">
        <v>13</v>
      </c>
      <c r="C14" s="4" t="s">
        <v>29</v>
      </c>
      <c r="D14" s="2">
        <v>92</v>
      </c>
      <c r="E14" s="2">
        <v>10</v>
      </c>
    </row>
    <row r="15" spans="1:5" x14ac:dyDescent="0.3">
      <c r="A15" s="2" t="s">
        <v>30</v>
      </c>
      <c r="B15" s="2" t="s">
        <v>13</v>
      </c>
      <c r="C15" s="4" t="s">
        <v>31</v>
      </c>
      <c r="D15" s="2">
        <v>22</v>
      </c>
      <c r="E15" s="2">
        <v>17</v>
      </c>
    </row>
    <row r="16" spans="1:5" x14ac:dyDescent="0.3">
      <c r="A16" s="9" t="s">
        <v>67</v>
      </c>
      <c r="B16" s="4"/>
      <c r="C16" s="9" t="s">
        <v>68</v>
      </c>
      <c r="D16" s="4"/>
      <c r="E16" s="9">
        <f>SUM(E6:E15)</f>
        <v>289</v>
      </c>
    </row>
    <row r="18" spans="1:5" ht="17.25" x14ac:dyDescent="0.3">
      <c r="A18" s="15" t="s">
        <v>69</v>
      </c>
      <c r="B18" s="13"/>
      <c r="C18" s="13"/>
      <c r="D18" s="13"/>
      <c r="E18" s="13"/>
    </row>
    <row r="19" spans="1:5" x14ac:dyDescent="0.3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</row>
    <row r="20" spans="1:5" x14ac:dyDescent="0.3">
      <c r="A20" s="2" t="s">
        <v>34</v>
      </c>
      <c r="B20" s="2" t="s">
        <v>13</v>
      </c>
      <c r="C20" s="4" t="s">
        <v>35</v>
      </c>
      <c r="D20" s="2">
        <v>114</v>
      </c>
      <c r="E20" s="2">
        <v>5</v>
      </c>
    </row>
    <row r="21" spans="1:5" x14ac:dyDescent="0.3">
      <c r="A21" s="2" t="s">
        <v>36</v>
      </c>
      <c r="B21" s="2" t="s">
        <v>13</v>
      </c>
      <c r="C21" s="4" t="s">
        <v>37</v>
      </c>
      <c r="D21" s="2">
        <v>50</v>
      </c>
      <c r="E21" s="2">
        <v>5</v>
      </c>
    </row>
    <row r="22" spans="1:5" x14ac:dyDescent="0.3">
      <c r="A22" s="2" t="s">
        <v>36</v>
      </c>
      <c r="B22" s="2" t="s">
        <v>19</v>
      </c>
      <c r="C22" s="4" t="s">
        <v>38</v>
      </c>
      <c r="D22" s="2">
        <v>112</v>
      </c>
      <c r="E22" s="2">
        <v>5</v>
      </c>
    </row>
    <row r="23" spans="1:5" x14ac:dyDescent="0.3">
      <c r="A23" s="2" t="s">
        <v>16</v>
      </c>
      <c r="B23" s="2" t="s">
        <v>13</v>
      </c>
      <c r="C23" s="4" t="s">
        <v>39</v>
      </c>
      <c r="D23" s="2">
        <v>53</v>
      </c>
      <c r="E23" s="2">
        <v>6</v>
      </c>
    </row>
    <row r="24" spans="1:5" x14ac:dyDescent="0.3">
      <c r="A24" s="2" t="s">
        <v>18</v>
      </c>
      <c r="B24" s="2" t="s">
        <v>19</v>
      </c>
      <c r="C24" s="4" t="s">
        <v>40</v>
      </c>
      <c r="D24" s="2">
        <v>22</v>
      </c>
      <c r="E24" s="2">
        <v>9</v>
      </c>
    </row>
    <row r="25" spans="1:5" x14ac:dyDescent="0.3">
      <c r="A25" s="2" t="s">
        <v>18</v>
      </c>
      <c r="B25" s="2" t="s">
        <v>21</v>
      </c>
      <c r="C25" s="4" t="s">
        <v>41</v>
      </c>
      <c r="D25" s="2">
        <v>113</v>
      </c>
      <c r="E25" s="2">
        <v>9</v>
      </c>
    </row>
    <row r="26" spans="1:5" x14ac:dyDescent="0.3">
      <c r="A26" s="2" t="s">
        <v>25</v>
      </c>
      <c r="B26" s="2" t="s">
        <v>13</v>
      </c>
      <c r="C26" s="4" t="s">
        <v>42</v>
      </c>
      <c r="D26" s="2">
        <v>27</v>
      </c>
      <c r="E26" s="2">
        <v>9</v>
      </c>
    </row>
    <row r="27" spans="1:5" x14ac:dyDescent="0.3">
      <c r="A27" s="2" t="s">
        <v>25</v>
      </c>
      <c r="B27" s="2" t="s">
        <v>19</v>
      </c>
      <c r="C27" s="4" t="s">
        <v>43</v>
      </c>
      <c r="D27" s="2">
        <v>78</v>
      </c>
      <c r="E27" s="2">
        <v>6</v>
      </c>
    </row>
    <row r="28" spans="1:5" x14ac:dyDescent="0.3">
      <c r="A28" s="2" t="s">
        <v>44</v>
      </c>
      <c r="B28" s="2" t="s">
        <v>19</v>
      </c>
      <c r="C28" s="4" t="s">
        <v>45</v>
      </c>
      <c r="D28" s="2">
        <v>67</v>
      </c>
      <c r="E28" s="2">
        <v>9</v>
      </c>
    </row>
    <row r="29" spans="1:5" x14ac:dyDescent="0.3">
      <c r="A29" s="2" t="s">
        <v>28</v>
      </c>
      <c r="B29" s="2" t="s">
        <v>13</v>
      </c>
      <c r="C29" s="4" t="s">
        <v>46</v>
      </c>
      <c r="D29" s="2">
        <v>60</v>
      </c>
      <c r="E29" s="2">
        <v>9</v>
      </c>
    </row>
    <row r="30" spans="1:5" x14ac:dyDescent="0.3">
      <c r="A30" s="2" t="s">
        <v>30</v>
      </c>
      <c r="B30" s="2" t="s">
        <v>13</v>
      </c>
      <c r="C30" s="4" t="s">
        <v>47</v>
      </c>
      <c r="D30" s="2">
        <v>39</v>
      </c>
      <c r="E30" s="2">
        <v>5</v>
      </c>
    </row>
    <row r="31" spans="1:5" x14ac:dyDescent="0.3">
      <c r="A31" s="2" t="s">
        <v>30</v>
      </c>
      <c r="B31" s="2" t="s">
        <v>19</v>
      </c>
      <c r="C31" s="4" t="s">
        <v>48</v>
      </c>
      <c r="D31" s="2">
        <v>147</v>
      </c>
      <c r="E31" s="2">
        <v>7</v>
      </c>
    </row>
    <row r="32" spans="1:5" x14ac:dyDescent="0.3">
      <c r="A32" s="9" t="s">
        <v>67</v>
      </c>
      <c r="B32" s="4"/>
      <c r="C32" s="9" t="s">
        <v>70</v>
      </c>
      <c r="D32" s="4"/>
      <c r="E32" s="9">
        <f>SUM(E20:E31)</f>
        <v>84</v>
      </c>
    </row>
    <row r="34" spans="1:5" ht="17.25" x14ac:dyDescent="0.3">
      <c r="A34" s="12" t="s">
        <v>71</v>
      </c>
      <c r="B34" s="13"/>
      <c r="C34" s="13"/>
      <c r="D34" s="13"/>
      <c r="E34" s="13"/>
    </row>
    <row r="35" spans="1:5" x14ac:dyDescent="0.3">
      <c r="A35" s="1" t="s">
        <v>3</v>
      </c>
      <c r="B35" s="1" t="s">
        <v>4</v>
      </c>
      <c r="C35" s="1" t="s">
        <v>5</v>
      </c>
      <c r="D35" s="1" t="s">
        <v>6</v>
      </c>
      <c r="E35" s="1" t="s">
        <v>7</v>
      </c>
    </row>
    <row r="36" spans="1:5" x14ac:dyDescent="0.3">
      <c r="A36" s="2" t="s">
        <v>36</v>
      </c>
      <c r="B36" s="2" t="s">
        <v>13</v>
      </c>
      <c r="C36" s="4" t="s">
        <v>51</v>
      </c>
      <c r="D36" s="2">
        <v>118</v>
      </c>
      <c r="E36" s="2">
        <v>2</v>
      </c>
    </row>
    <row r="37" spans="1:5" x14ac:dyDescent="0.3">
      <c r="A37" s="2" t="s">
        <v>16</v>
      </c>
      <c r="B37" s="2" t="s">
        <v>13</v>
      </c>
      <c r="C37" s="4" t="s">
        <v>52</v>
      </c>
      <c r="D37" s="2">
        <v>164</v>
      </c>
      <c r="E37" s="2">
        <v>3</v>
      </c>
    </row>
    <row r="38" spans="1:5" x14ac:dyDescent="0.3">
      <c r="A38" s="2" t="s">
        <v>18</v>
      </c>
      <c r="B38" s="2" t="s">
        <v>13</v>
      </c>
      <c r="C38" s="4" t="s">
        <v>53</v>
      </c>
      <c r="D38" s="2">
        <v>48</v>
      </c>
      <c r="E38" s="2">
        <v>3</v>
      </c>
    </row>
    <row r="39" spans="1:5" x14ac:dyDescent="0.3">
      <c r="A39" s="2" t="s">
        <v>18</v>
      </c>
      <c r="B39" s="2" t="s">
        <v>19</v>
      </c>
      <c r="C39" s="4" t="s">
        <v>54</v>
      </c>
      <c r="D39" s="2">
        <v>169</v>
      </c>
      <c r="E39" s="2">
        <v>3</v>
      </c>
    </row>
    <row r="40" spans="1:5" x14ac:dyDescent="0.3">
      <c r="A40" s="2" t="s">
        <v>18</v>
      </c>
      <c r="B40" s="2" t="s">
        <v>55</v>
      </c>
      <c r="C40" s="4" t="s">
        <v>56</v>
      </c>
      <c r="D40" s="2">
        <v>32</v>
      </c>
      <c r="E40" s="2">
        <v>3</v>
      </c>
    </row>
    <row r="41" spans="1:5" x14ac:dyDescent="0.3">
      <c r="A41" s="2" t="s">
        <v>44</v>
      </c>
      <c r="B41" s="2" t="s">
        <v>19</v>
      </c>
      <c r="C41" s="4" t="s">
        <v>57</v>
      </c>
      <c r="D41" s="2">
        <v>59</v>
      </c>
      <c r="E41" s="2">
        <v>2</v>
      </c>
    </row>
    <row r="42" spans="1:5" x14ac:dyDescent="0.3">
      <c r="A42" s="2" t="s">
        <v>44</v>
      </c>
      <c r="B42" s="2" t="s">
        <v>55</v>
      </c>
      <c r="C42" s="4" t="s">
        <v>58</v>
      </c>
      <c r="D42" s="2">
        <v>67</v>
      </c>
      <c r="E42" s="2">
        <v>2</v>
      </c>
    </row>
    <row r="43" spans="1:5" x14ac:dyDescent="0.3">
      <c r="A43" s="2" t="s">
        <v>28</v>
      </c>
      <c r="B43" s="2" t="s">
        <v>13</v>
      </c>
      <c r="C43" s="4" t="s">
        <v>59</v>
      </c>
      <c r="D43" s="2">
        <v>96</v>
      </c>
      <c r="E43" s="2">
        <v>3</v>
      </c>
    </row>
    <row r="44" spans="1:5" x14ac:dyDescent="0.3">
      <c r="A44" s="2" t="s">
        <v>28</v>
      </c>
      <c r="B44" s="2" t="s">
        <v>19</v>
      </c>
      <c r="C44" s="4" t="s">
        <v>60</v>
      </c>
      <c r="D44" s="2">
        <v>81</v>
      </c>
      <c r="E44" s="2">
        <v>4</v>
      </c>
    </row>
    <row r="45" spans="1:5" x14ac:dyDescent="0.3">
      <c r="A45" s="2" t="s">
        <v>28</v>
      </c>
      <c r="B45" s="2" t="s">
        <v>55</v>
      </c>
      <c r="C45" s="4" t="s">
        <v>61</v>
      </c>
      <c r="D45" s="2">
        <v>348</v>
      </c>
      <c r="E45" s="2">
        <v>3</v>
      </c>
    </row>
    <row r="46" spans="1:5" x14ac:dyDescent="0.3">
      <c r="A46" s="2" t="s">
        <v>28</v>
      </c>
      <c r="B46" s="2" t="s">
        <v>21</v>
      </c>
      <c r="C46" s="4" t="s">
        <v>62</v>
      </c>
      <c r="D46" s="2">
        <v>58</v>
      </c>
      <c r="E46" s="2">
        <v>2</v>
      </c>
    </row>
    <row r="47" spans="1:5" x14ac:dyDescent="0.3">
      <c r="A47" s="2" t="s">
        <v>30</v>
      </c>
      <c r="B47" s="2" t="s">
        <v>13</v>
      </c>
      <c r="C47" s="4" t="s">
        <v>63</v>
      </c>
      <c r="D47" s="2">
        <v>21</v>
      </c>
      <c r="E47" s="2">
        <v>2</v>
      </c>
    </row>
    <row r="48" spans="1:5" x14ac:dyDescent="0.3">
      <c r="A48" s="9" t="s">
        <v>67</v>
      </c>
      <c r="B48" s="4"/>
      <c r="C48" s="9" t="s">
        <v>70</v>
      </c>
      <c r="D48" s="4"/>
      <c r="E48" s="9">
        <f>SUM(E36:E47)</f>
        <v>32</v>
      </c>
    </row>
  </sheetData>
  <mergeCells count="3">
    <mergeCell ref="A34:E34"/>
    <mergeCell ref="A4:E4"/>
    <mergeCell ref="A18:E18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6.5" x14ac:dyDescent="0.3"/>
  <cols>
    <col min="1" max="1" width="18" customWidth="1"/>
    <col min="2" max="5" width="12" customWidth="1"/>
    <col min="6" max="6" width="14" customWidth="1"/>
    <col min="7" max="7" width="18" customWidth="1"/>
  </cols>
  <sheetData>
    <row r="1" spans="1:7" x14ac:dyDescent="0.3">
      <c r="A1" s="1" t="s">
        <v>3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3">
      <c r="A2" s="4" t="s">
        <v>12</v>
      </c>
      <c r="B2" s="2">
        <v>1</v>
      </c>
      <c r="C2" s="2">
        <v>0</v>
      </c>
      <c r="D2" s="2">
        <v>0</v>
      </c>
      <c r="E2" s="2">
        <v>1</v>
      </c>
      <c r="F2" s="2">
        <v>11</v>
      </c>
      <c r="G2" s="2">
        <v>25</v>
      </c>
    </row>
    <row r="3" spans="1:7" x14ac:dyDescent="0.3">
      <c r="A3" s="4" t="s">
        <v>34</v>
      </c>
      <c r="B3" s="2">
        <v>0</v>
      </c>
      <c r="C3" s="2">
        <v>1</v>
      </c>
      <c r="D3" s="2">
        <v>0</v>
      </c>
      <c r="E3" s="2">
        <v>1</v>
      </c>
      <c r="F3" s="2">
        <v>5</v>
      </c>
      <c r="G3" s="2">
        <v>114</v>
      </c>
    </row>
    <row r="4" spans="1:7" x14ac:dyDescent="0.3">
      <c r="A4" s="4" t="s">
        <v>36</v>
      </c>
      <c r="B4" s="2">
        <v>0</v>
      </c>
      <c r="C4" s="2">
        <v>2</v>
      </c>
      <c r="D4" s="2">
        <v>1</v>
      </c>
      <c r="E4" s="2">
        <v>3</v>
      </c>
      <c r="F4" s="2">
        <v>12</v>
      </c>
      <c r="G4" s="2">
        <v>50</v>
      </c>
    </row>
    <row r="5" spans="1:7" x14ac:dyDescent="0.3">
      <c r="A5" s="4" t="s">
        <v>16</v>
      </c>
      <c r="B5" s="2">
        <v>1</v>
      </c>
      <c r="C5" s="2">
        <v>1</v>
      </c>
      <c r="D5" s="2">
        <v>1</v>
      </c>
      <c r="E5" s="2">
        <v>3</v>
      </c>
      <c r="F5" s="2">
        <v>25</v>
      </c>
      <c r="G5" s="2">
        <v>53</v>
      </c>
    </row>
    <row r="6" spans="1:7" x14ac:dyDescent="0.3">
      <c r="A6" s="4" t="s">
        <v>18</v>
      </c>
      <c r="B6" s="2">
        <v>4</v>
      </c>
      <c r="C6" s="2">
        <v>2</v>
      </c>
      <c r="D6" s="2">
        <v>3</v>
      </c>
      <c r="E6" s="2">
        <v>9</v>
      </c>
      <c r="F6" s="2">
        <v>188</v>
      </c>
      <c r="G6" s="2">
        <v>22</v>
      </c>
    </row>
    <row r="7" spans="1:7" x14ac:dyDescent="0.3">
      <c r="A7" s="4" t="s">
        <v>25</v>
      </c>
      <c r="B7" s="2">
        <v>2</v>
      </c>
      <c r="C7" s="2">
        <v>2</v>
      </c>
      <c r="D7" s="2">
        <v>0</v>
      </c>
      <c r="E7" s="2">
        <v>4</v>
      </c>
      <c r="F7" s="2">
        <v>89</v>
      </c>
      <c r="G7" s="2">
        <v>24</v>
      </c>
    </row>
    <row r="8" spans="1:7" x14ac:dyDescent="0.3">
      <c r="A8" s="4" t="s">
        <v>44</v>
      </c>
      <c r="B8" s="2">
        <v>0</v>
      </c>
      <c r="C8" s="2">
        <v>1</v>
      </c>
      <c r="D8" s="2">
        <v>2</v>
      </c>
      <c r="E8" s="2">
        <v>3</v>
      </c>
      <c r="F8" s="2">
        <v>13</v>
      </c>
      <c r="G8" s="2">
        <v>59</v>
      </c>
    </row>
    <row r="9" spans="1:7" x14ac:dyDescent="0.3">
      <c r="A9" s="4" t="s">
        <v>28</v>
      </c>
      <c r="B9" s="2">
        <v>1</v>
      </c>
      <c r="C9" s="2">
        <v>1</v>
      </c>
      <c r="D9" s="2">
        <v>4</v>
      </c>
      <c r="E9" s="2">
        <v>6</v>
      </c>
      <c r="F9" s="2">
        <v>31</v>
      </c>
      <c r="G9" s="2">
        <v>58</v>
      </c>
    </row>
    <row r="10" spans="1:7" x14ac:dyDescent="0.3">
      <c r="A10" s="4" t="s">
        <v>30</v>
      </c>
      <c r="B10" s="2">
        <v>1</v>
      </c>
      <c r="C10" s="2">
        <v>2</v>
      </c>
      <c r="D10" s="2">
        <v>1</v>
      </c>
      <c r="E10" s="2">
        <v>4</v>
      </c>
      <c r="F10" s="2">
        <v>31</v>
      </c>
      <c r="G10" s="2">
        <v>21</v>
      </c>
    </row>
    <row r="11" spans="1:7" x14ac:dyDescent="0.3">
      <c r="A11" s="9" t="s">
        <v>78</v>
      </c>
      <c r="B11" s="10">
        <f>SUM(B2:B10)</f>
        <v>10</v>
      </c>
      <c r="C11" s="10">
        <f>SUM(C2:C10)</f>
        <v>12</v>
      </c>
      <c r="D11" s="10">
        <f>SUM(D2:D10)</f>
        <v>12</v>
      </c>
      <c r="E11" s="10">
        <f>SUM(E2:E10)</f>
        <v>34</v>
      </c>
      <c r="F11" s="10">
        <f>SUM(F2:F10)</f>
        <v>405</v>
      </c>
      <c r="G11" s="10">
        <f>MIN(G2:G10)</f>
        <v>21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6.5" x14ac:dyDescent="0.3"/>
  <cols>
    <col min="1" max="1" width="18" customWidth="1"/>
    <col min="2" max="2" width="28" customWidth="1"/>
    <col min="3" max="3" width="70" customWidth="1"/>
  </cols>
  <sheetData>
    <row r="1" spans="1:3" x14ac:dyDescent="0.3">
      <c r="A1" s="11" t="s">
        <v>79</v>
      </c>
      <c r="B1" s="11" t="s">
        <v>80</v>
      </c>
      <c r="C1" s="11" t="s">
        <v>81</v>
      </c>
    </row>
    <row r="2" spans="1:3" x14ac:dyDescent="0.3">
      <c r="A2" t="s">
        <v>82</v>
      </c>
      <c r="B2" t="s">
        <v>83</v>
      </c>
      <c r="C2" t="s">
        <v>84</v>
      </c>
    </row>
    <row r="3" spans="1:3" x14ac:dyDescent="0.3">
      <c r="A3" t="s">
        <v>85</v>
      </c>
      <c r="B3" t="s">
        <v>86</v>
      </c>
    </row>
    <row r="4" spans="1:3" x14ac:dyDescent="0.3">
      <c r="A4" t="s">
        <v>87</v>
      </c>
      <c r="B4" t="s">
        <v>88</v>
      </c>
    </row>
    <row r="5" spans="1:3" x14ac:dyDescent="0.3">
      <c r="A5" t="s">
        <v>89</v>
      </c>
      <c r="B5">
        <v>0.7</v>
      </c>
      <c r="C5" t="s">
        <v>90</v>
      </c>
    </row>
    <row r="6" spans="1:3" x14ac:dyDescent="0.3">
      <c r="A6" t="s">
        <v>91</v>
      </c>
      <c r="B6" t="s">
        <v>92</v>
      </c>
      <c r="C6" t="s">
        <v>93</v>
      </c>
    </row>
    <row r="7" spans="1:3" x14ac:dyDescent="0.3">
      <c r="A7" t="s">
        <v>94</v>
      </c>
      <c r="B7">
        <v>9</v>
      </c>
      <c r="C7" t="s">
        <v>95</v>
      </c>
    </row>
    <row r="8" spans="1:3" x14ac:dyDescent="0.3">
      <c r="A8" t="s">
        <v>96</v>
      </c>
      <c r="B8">
        <v>34</v>
      </c>
      <c r="C8" t="s">
        <v>97</v>
      </c>
    </row>
    <row r="9" spans="1:3" x14ac:dyDescent="0.3">
      <c r="A9" t="s">
        <v>98</v>
      </c>
      <c r="B9" t="s">
        <v>99</v>
      </c>
      <c r="C9" t="s">
        <v>100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교체주기_기준</vt:lpstr>
      <vt:lpstr>등급별_현황</vt:lpstr>
      <vt:lpstr>설비별_요약</vt:lpstr>
      <vt:lpstr>기준_정의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권도형/책임/세방전지</cp:lastModifiedBy>
  <dcterms:created xsi:type="dcterms:W3CDTF">2026-10-22T06:59:10Z</dcterms:created>
  <dcterms:modified xsi:type="dcterms:W3CDTF">2026-10-22T07:07:40Z</dcterms:modified>
</cp:coreProperties>
</file>